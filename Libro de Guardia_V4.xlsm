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adio\Generador De QSL\"/>
    </mc:Choice>
  </mc:AlternateContent>
  <xr:revisionPtr revIDLastSave="0" documentId="13_ncr:1_{307819C1-43BE-4EE0-9049-F04C34C1C3EA}" xr6:coauthVersionLast="43" xr6:coauthVersionMax="43" xr10:uidLastSave="{00000000-0000-0000-0000-000000000000}"/>
  <bookViews>
    <workbookView xWindow="-120" yWindow="-120" windowWidth="20730" windowHeight="11160" xr2:uid="{E91A70F9-7302-4165-ADDE-AC99F197624B}"/>
  </bookViews>
  <sheets>
    <sheet name="LogBook" sheetId="3" r:id="rId1"/>
    <sheet name="Base_QSL" sheetId="1" r:id="rId2"/>
    <sheet name="Variables" sheetId="2" state="hidden" r:id="rId3"/>
    <sheet name="Hoja1" sheetId="6" state="hidden" r:id="rId4"/>
    <sheet name="QSL_Borrado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L2" i="1" l="1"/>
  <c r="K2" i="1"/>
  <c r="J2" i="1"/>
  <c r="B4" i="2" l="1"/>
  <c r="L1" i="3" s="1"/>
  <c r="B2" i="2" l="1"/>
  <c r="F10" i="3" s="1"/>
  <c r="B3" i="2"/>
</calcChain>
</file>

<file path=xl/sharedStrings.xml><?xml version="1.0" encoding="utf-8"?>
<sst xmlns="http://schemas.openxmlformats.org/spreadsheetml/2006/main" count="60" uniqueCount="40">
  <si>
    <t>QLS_ID</t>
  </si>
  <si>
    <t>Fecha</t>
  </si>
  <si>
    <t>Licencia</t>
  </si>
  <si>
    <t>LU9ANG</t>
  </si>
  <si>
    <t>mhz</t>
  </si>
  <si>
    <t>rst</t>
  </si>
  <si>
    <t>mod</t>
  </si>
  <si>
    <t>qsl</t>
  </si>
  <si>
    <t>Motivo</t>
  </si>
  <si>
    <t>EventoX</t>
  </si>
  <si>
    <t>AniversarioLU4BB</t>
  </si>
  <si>
    <t>Activacion</t>
  </si>
  <si>
    <t>Normal</t>
  </si>
  <si>
    <t>FM</t>
  </si>
  <si>
    <t>AM</t>
  </si>
  <si>
    <t>CW</t>
  </si>
  <si>
    <t>USB</t>
  </si>
  <si>
    <t>LSB</t>
  </si>
  <si>
    <t>DIA</t>
  </si>
  <si>
    <t>MES</t>
  </si>
  <si>
    <t>ANIO</t>
  </si>
  <si>
    <t>LU9AFA</t>
  </si>
  <si>
    <t>LU9AGA</t>
  </si>
  <si>
    <t>LU9AQT</t>
  </si>
  <si>
    <t>LU9QWE</t>
  </si>
  <si>
    <t>LU9QTO</t>
  </si>
  <si>
    <t>utc</t>
  </si>
  <si>
    <t>Modo</t>
  </si>
  <si>
    <t>QSL</t>
  </si>
  <si>
    <t>RST</t>
  </si>
  <si>
    <t>Mhz</t>
  </si>
  <si>
    <t>UTC</t>
  </si>
  <si>
    <t>version</t>
  </si>
  <si>
    <t>cantidad_qsl</t>
  </si>
  <si>
    <t>Nueva QSL</t>
  </si>
  <si>
    <t>Cantidad de QSL Cargadas</t>
  </si>
  <si>
    <t>cantidad_qsl_borradas</t>
  </si>
  <si>
    <t>HOY</t>
  </si>
  <si>
    <t>9 De Julio</t>
  </si>
  <si>
    <t>v4.0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</si>
</sst>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6600"/>
      <name val="Calibri"/>
      <family val="2"/>
    </font>
    <font>
      <u val="double"/>
      <sz val="14"/>
      <color indexed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2" borderId="0" xfId="0" applyFill="1"/>
    <xf numFmtId="1" fontId="0" fillId="2" borderId="0" xfId="0" applyNumberFormat="1" applyFill="1"/>
    <xf numFmtId="164" fontId="0" fillId="0" borderId="0" xfId="0" applyNumberFormat="1"/>
    <xf numFmtId="164" fontId="0" fillId="3" borderId="0" xfId="0" applyNumberFormat="1" applyFill="1"/>
    <xf numFmtId="0" fontId="0" fillId="3" borderId="0" xfId="0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ill="1" applyBorder="1"/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4" fontId="0" fillId="3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9</xdr:col>
      <xdr:colOff>304800</xdr:colOff>
      <xdr:row>13</xdr:row>
      <xdr:rowOff>304800</xdr:rowOff>
    </xdr:to>
    <xdr:sp macro="" textlink="">
      <xdr:nvSpPr>
        <xdr:cNvPr id="2049" name="AutoShape 1" descr="blob:https://web.whatsapp.com/3e8fbe3e-2c04-404e-9ee5-efbdbbd5e804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7696200" y="222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114300</xdr:colOff>
      <xdr:row>0</xdr:row>
      <xdr:rowOff>19050</xdr:rowOff>
    </xdr:from>
    <xdr:to>
      <xdr:col>10</xdr:col>
      <xdr:colOff>590550</xdr:colOff>
      <xdr:row>6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9050"/>
          <a:ext cx="123825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352426</xdr:colOff>
      <xdr:row>0</xdr:row>
      <xdr:rowOff>57151</xdr:rowOff>
    </xdr:from>
    <xdr:to>
      <xdr:col>2</xdr:col>
      <xdr:colOff>19050</xdr:colOff>
      <xdr:row>6</xdr:row>
      <xdr:rowOff>104775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57151"/>
          <a:ext cx="1190624" cy="1190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12</xdr:row>
          <xdr:rowOff>66675</xdr:rowOff>
        </xdr:from>
        <xdr:to>
          <xdr:col>11</xdr:col>
          <xdr:colOff>104775</xdr:colOff>
          <xdr:row>13</xdr:row>
          <xdr:rowOff>657225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 QSL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17</xdr:row>
          <xdr:rowOff>0</xdr:rowOff>
        </xdr:from>
        <xdr:to>
          <xdr:col>11</xdr:col>
          <xdr:colOff>104775</xdr:colOff>
          <xdr:row>19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Borrar ultima QSL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23813</xdr:colOff>
          <xdr:row>23</xdr:row>
          <xdr:rowOff>130969</xdr:rowOff>
        </xdr:from>
        <xdr:to>
          <xdr:col>4</xdr:col>
          <xdr:colOff>273843</xdr:colOff>
          <xdr:row>29</xdr:row>
          <xdr:rowOff>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EXPORTAR CONTACTOS REALIZADOS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369093</xdr:colOff>
          <xdr:row>23</xdr:row>
          <xdr:rowOff>166688</xdr:rowOff>
        </xdr:from>
        <xdr:to>
          <xdr:col>8</xdr:col>
          <xdr:colOff>309561</xdr:colOff>
          <xdr:row>28</xdr:row>
          <xdr:rowOff>154781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3C005052-7090-497E-91C1-15C255D83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400" b="0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Borrar QSL's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13</xdr:row>
      <xdr:rowOff>0</xdr:rowOff>
    </xdr:from>
    <xdr:to>
      <xdr:col>9</xdr:col>
      <xdr:colOff>304800</xdr:colOff>
      <xdr:row>13</xdr:row>
      <xdr:rowOff>304800</xdr:rowOff>
    </xdr:to>
    <xdr:sp macro="" textlink="">
      <xdr:nvSpPr>
        <xdr:cNvPr id="9" name="AutoShape 1" descr="blob:https://web.whatsapp.com/3e8fbe3e-2c04-404e-9ee5-efbdbbd5e804">
          <a:extLst>
            <a:ext uri="{FF2B5EF4-FFF2-40B4-BE49-F238E27FC236}">
              <a16:creationId xmlns:a16="http://schemas.microsoft.com/office/drawing/2014/main" id="{81C4F605-34D3-47CD-B763-B73E5EC8375F}"/>
            </a:ext>
          </a:extLst>
        </xdr:cNvPr>
        <xdr:cNvSpPr>
          <a:spLocks noChangeAspect="1" noChangeArrowheads="1"/>
        </xdr:cNvSpPr>
      </xdr:nvSpPr>
      <xdr:spPr bwMode="auto">
        <a:xfrm>
          <a:off x="7696200" y="29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114300</xdr:colOff>
      <xdr:row>0</xdr:row>
      <xdr:rowOff>19050</xdr:rowOff>
    </xdr:from>
    <xdr:to>
      <xdr:col>10</xdr:col>
      <xdr:colOff>590550</xdr:colOff>
      <xdr:row>6</xdr:row>
      <xdr:rowOff>114300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11B6BB5-A9BA-411B-A31B-C557C1740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9050"/>
          <a:ext cx="123825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352426</xdr:colOff>
      <xdr:row>0</xdr:row>
      <xdr:rowOff>57151</xdr:rowOff>
    </xdr:from>
    <xdr:to>
      <xdr:col>2</xdr:col>
      <xdr:colOff>19050</xdr:colOff>
      <xdr:row>6</xdr:row>
      <xdr:rowOff>104775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4BA0FA-55E1-46F8-9516-50E6B7722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57151"/>
          <a:ext cx="1190624" cy="1190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3F28-FC4A-4077-8F52-C28A59764514}">
  <sheetPr codeName="Hoja3"/>
  <dimension ref="A1:L31"/>
  <sheetViews>
    <sheetView tabSelected="1" zoomScale="80" zoomScaleNormal="80" zoomScaleSheetLayoutView="100" workbookViewId="0">
      <selection activeCell="D14" sqref="D14"/>
    </sheetView>
  </sheetViews>
  <sheetFormatPr baseColWidth="10" defaultColWidth="0" defaultRowHeight="15" zeroHeight="1" x14ac:dyDescent="0.25"/>
  <cols>
    <col min="1" max="3" width="11.42578125" style="7" customWidth="1"/>
    <col min="4" max="4" width="24" style="7" customWidth="1"/>
    <col min="5" max="12" width="11.42578125" style="7" customWidth="1"/>
    <col min="13" max="16384" width="11.42578125" style="7" hidden="1"/>
  </cols>
  <sheetData>
    <row r="1" spans="1:12" customFormat="1" ht="15" customHeight="1" x14ac:dyDescent="0.25">
      <c r="A1" s="22" t="str">
        <f>"Libro de Guardia "&amp;Variables!$B$1</f>
        <v>Libro de Guardia v4.0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6">
        <f ca="1">Variables!B4</f>
        <v>43670</v>
      </c>
    </row>
    <row r="2" spans="1:12" customFormat="1" ht="1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7"/>
    </row>
    <row r="3" spans="1:12" customFormat="1" ht="1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7"/>
    </row>
    <row r="4" spans="1:12" customFormat="1" ht="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7"/>
    </row>
    <row r="5" spans="1:12" customFormat="1" ht="15" customHeight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7"/>
    </row>
    <row r="6" spans="1:12" customFormat="1" ht="15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7"/>
    </row>
    <row r="7" spans="1:12" customFormat="1" ht="15" customHeight="1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7"/>
    </row>
    <row r="8" spans="1:12" customFormat="1" ht="18.75" customHeight="1" thickBot="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7"/>
    </row>
    <row r="9" spans="1:12" customFormat="1" ht="18.75" customHeight="1" thickBot="1" x14ac:dyDescent="0.3">
      <c r="A9" s="8"/>
      <c r="B9" s="21"/>
      <c r="C9" s="21"/>
      <c r="D9" s="21"/>
      <c r="E9" s="21"/>
      <c r="F9" s="39" t="s">
        <v>35</v>
      </c>
      <c r="G9" s="40"/>
      <c r="H9" s="21"/>
      <c r="I9" s="41"/>
      <c r="J9" s="41"/>
      <c r="K9" s="9"/>
      <c r="L9" s="7"/>
    </row>
    <row r="10" spans="1:12" customFormat="1" ht="18.75" customHeight="1" thickBot="1" x14ac:dyDescent="0.3">
      <c r="A10" s="8"/>
      <c r="B10" s="21"/>
      <c r="C10" s="21"/>
      <c r="D10" s="21"/>
      <c r="E10" s="21"/>
      <c r="F10" s="35">
        <f>Variables!$B$2</f>
        <v>0</v>
      </c>
      <c r="G10" s="36"/>
      <c r="H10" s="21"/>
      <c r="I10" s="42"/>
      <c r="J10" s="42"/>
      <c r="K10" s="9"/>
      <c r="L10" s="7"/>
    </row>
    <row r="11" spans="1:12" customFormat="1" ht="15.75" customHeight="1" thickBot="1" x14ac:dyDescent="0.3">
      <c r="A11" s="7"/>
      <c r="B11" s="29" t="s">
        <v>34</v>
      </c>
      <c r="C11" s="30"/>
      <c r="D11" s="31"/>
      <c r="E11" s="7"/>
      <c r="F11" s="37"/>
      <c r="G11" s="38"/>
      <c r="H11" s="7"/>
      <c r="I11" s="42"/>
      <c r="J11" s="42"/>
      <c r="K11" s="10"/>
      <c r="L11" s="7"/>
    </row>
    <row r="12" spans="1:12" customFormat="1" ht="15.75" customHeight="1" thickBot="1" x14ac:dyDescent="0.3">
      <c r="A12" s="7"/>
      <c r="B12" s="32"/>
      <c r="C12" s="33"/>
      <c r="D12" s="34"/>
      <c r="E12" s="7"/>
      <c r="F12" s="7"/>
      <c r="G12" s="7"/>
      <c r="H12" s="7"/>
      <c r="I12" s="7"/>
      <c r="J12" s="7"/>
      <c r="K12" s="7"/>
      <c r="L12" s="7"/>
    </row>
    <row r="13" spans="1:12" customFormat="1" ht="39.75" customHeight="1" x14ac:dyDescent="0.25">
      <c r="A13" s="7"/>
      <c r="B13" s="11" t="s">
        <v>8</v>
      </c>
      <c r="C13" s="12" t="s">
        <v>1</v>
      </c>
      <c r="D13" s="12" t="s">
        <v>2</v>
      </c>
      <c r="E13" s="12" t="s">
        <v>31</v>
      </c>
      <c r="F13" s="12" t="s">
        <v>30</v>
      </c>
      <c r="G13" s="12" t="s">
        <v>29</v>
      </c>
      <c r="H13" s="12" t="s">
        <v>27</v>
      </c>
      <c r="I13" s="13" t="s">
        <v>28</v>
      </c>
      <c r="J13" s="7"/>
      <c r="K13" s="7"/>
      <c r="L13" s="7"/>
    </row>
    <row r="14" spans="1:12" customFormat="1" ht="59.25" customHeight="1" thickBot="1" x14ac:dyDescent="0.3">
      <c r="A14" s="7"/>
      <c r="B14" s="14" t="s">
        <v>38</v>
      </c>
      <c r="C14" s="15">
        <v>43651</v>
      </c>
      <c r="D14" s="16" t="s">
        <v>3</v>
      </c>
      <c r="E14" s="16">
        <v>1232</v>
      </c>
      <c r="F14" s="16">
        <v>7100</v>
      </c>
      <c r="G14" s="16">
        <v>80</v>
      </c>
      <c r="H14" s="16" t="s">
        <v>15</v>
      </c>
      <c r="I14" s="17">
        <v>89</v>
      </c>
      <c r="J14" s="7"/>
      <c r="K14" s="7"/>
      <c r="L14" s="7"/>
    </row>
    <row r="15" spans="1:12" customForma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2" customFormat="1" hidden="1" x14ac:dyDescent="0.25">
      <c r="A16" s="7"/>
      <c r="B16" s="23"/>
      <c r="C16" s="24"/>
      <c r="D16" s="25"/>
      <c r="E16" s="7"/>
      <c r="F16" s="7"/>
      <c r="G16" s="7"/>
      <c r="H16" s="7"/>
      <c r="I16" s="7"/>
      <c r="J16" s="7"/>
      <c r="K16" s="7"/>
      <c r="L16" s="7"/>
    </row>
    <row r="17" spans="1:12" customFormat="1" ht="15.75" hidden="1" thickBot="1" x14ac:dyDescent="0.3">
      <c r="A17" s="7"/>
      <c r="B17" s="26"/>
      <c r="C17" s="27"/>
      <c r="D17" s="28"/>
      <c r="E17" s="7"/>
      <c r="F17" s="7"/>
      <c r="G17" s="7"/>
      <c r="H17" s="7"/>
      <c r="I17" s="7"/>
      <c r="J17" s="7"/>
      <c r="K17" s="7"/>
      <c r="L17" s="7"/>
    </row>
    <row r="18" spans="1:12" customFormat="1" hidden="1" x14ac:dyDescent="0.25">
      <c r="A18" s="7"/>
      <c r="B18" s="11"/>
      <c r="C18" s="12"/>
      <c r="D18" s="12"/>
      <c r="E18" s="12"/>
      <c r="F18" s="12"/>
      <c r="G18" s="12"/>
      <c r="H18" s="12"/>
      <c r="I18" s="13"/>
      <c r="J18" s="7"/>
      <c r="K18" s="7"/>
      <c r="L18" s="7"/>
    </row>
    <row r="19" spans="1:12" customFormat="1" ht="15.75" hidden="1" thickBot="1" x14ac:dyDescent="0.3">
      <c r="A19" s="7"/>
      <c r="B19" s="18"/>
      <c r="C19" s="19"/>
      <c r="D19" s="19"/>
      <c r="E19" s="19"/>
      <c r="F19" s="19"/>
      <c r="G19" s="19"/>
      <c r="H19" s="19"/>
      <c r="I19" s="20"/>
      <c r="J19" s="7"/>
      <c r="K19" s="7"/>
      <c r="L19" s="7"/>
    </row>
    <row r="20" spans="1:12" customFormat="1" hidden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customForma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1:12" customForma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customForma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customForma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customForma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25"/>
    <row r="27" spans="1:12" x14ac:dyDescent="0.25"/>
    <row r="28" spans="1:12" x14ac:dyDescent="0.25"/>
    <row r="29" spans="1:12" x14ac:dyDescent="0.25"/>
    <row r="30" spans="1:12" x14ac:dyDescent="0.25"/>
    <row r="31" spans="1:12" x14ac:dyDescent="0.25"/>
  </sheetData>
  <mergeCells count="7">
    <mergeCell ref="A1:K7"/>
    <mergeCell ref="B16:D17"/>
    <mergeCell ref="B11:D12"/>
    <mergeCell ref="F10:G11"/>
    <mergeCell ref="F9:G9"/>
    <mergeCell ref="I9:J9"/>
    <mergeCell ref="I10:J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Confirmacion_QSL">
                <anchor moveWithCells="1" sizeWithCells="1">
                  <from>
                    <xdr:col>9</xdr:col>
                    <xdr:colOff>180975</xdr:colOff>
                    <xdr:row>12</xdr:row>
                    <xdr:rowOff>66675</xdr:rowOff>
                  </from>
                  <to>
                    <xdr:col>11</xdr:col>
                    <xdr:colOff>104775</xdr:colOff>
                    <xdr:row>13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ón4_Haga_clic_en">
                <anchor moveWithCells="1" sizeWithCells="1">
                  <from>
                    <xdr:col>9</xdr:col>
                    <xdr:colOff>171450</xdr:colOff>
                    <xdr:row>17</xdr:row>
                    <xdr:rowOff>0</xdr:rowOff>
                  </from>
                  <to>
                    <xdr:col>11</xdr:col>
                    <xdr:colOff>104775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hisWorkbook.ExportarExcelPropuesta">
                <anchor moveWithCells="1" sizeWithCells="1">
                  <from>
                    <xdr:col>1</xdr:col>
                    <xdr:colOff>28575</xdr:colOff>
                    <xdr:row>23</xdr:row>
                    <xdr:rowOff>133350</xdr:rowOff>
                  </from>
                  <to>
                    <xdr:col>4</xdr:col>
                    <xdr:colOff>276225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hisWorkbook.Confirmar_btn">
                <anchor moveWithCells="1" sizeWithCells="1">
                  <from>
                    <xdr:col>6</xdr:col>
                    <xdr:colOff>371475</xdr:colOff>
                    <xdr:row>23</xdr:row>
                    <xdr:rowOff>171450</xdr:rowOff>
                  </from>
                  <to>
                    <xdr:col>8</xdr:col>
                    <xdr:colOff>304800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A6396-809D-488D-BCCC-4FBD42BDC2E3}">
  <sheetPr codeName="Hoja1"/>
  <dimension ref="A1:L120"/>
  <sheetViews>
    <sheetView zoomScaleNormal="100" workbookViewId="0">
      <selection activeCell="A2" sqref="A2:I120"/>
    </sheetView>
  </sheetViews>
  <sheetFormatPr baseColWidth="10" defaultRowHeight="15" x14ac:dyDescent="0.25"/>
  <cols>
    <col min="1" max="1" width="11.85546875" bestFit="1" customWidth="1"/>
    <col min="2" max="2" width="16.7109375" bestFit="1" customWidth="1"/>
    <col min="3" max="3" width="11.42578125" style="1"/>
    <col min="10" max="10" width="11.85546875" style="2" bestFit="1" customWidth="1"/>
    <col min="11" max="11" width="11.42578125" style="2"/>
    <col min="12" max="12" width="11.85546875" style="2" bestFit="1" customWidth="1"/>
  </cols>
  <sheetData>
    <row r="1" spans="1:12" x14ac:dyDescent="0.25">
      <c r="A1" s="3" t="s">
        <v>0</v>
      </c>
      <c r="B1" s="3" t="s">
        <v>8</v>
      </c>
      <c r="C1" s="43" t="s">
        <v>1</v>
      </c>
      <c r="D1" s="3" t="s">
        <v>2</v>
      </c>
      <c r="E1" s="3" t="s">
        <v>26</v>
      </c>
      <c r="F1" s="3" t="s">
        <v>4</v>
      </c>
      <c r="G1" s="3" t="s">
        <v>5</v>
      </c>
      <c r="H1" s="3" t="s">
        <v>6</v>
      </c>
      <c r="I1" s="3" t="s">
        <v>7</v>
      </c>
      <c r="J1" s="4" t="s">
        <v>18</v>
      </c>
      <c r="K1" s="4" t="s">
        <v>19</v>
      </c>
      <c r="L1" s="4" t="s">
        <v>20</v>
      </c>
    </row>
    <row r="2" spans="1:12" x14ac:dyDescent="0.25">
      <c r="J2">
        <f>DAY(C2)</f>
        <v>0</v>
      </c>
      <c r="K2">
        <f>MONTH(C2)</f>
        <v>1</v>
      </c>
      <c r="L2">
        <f>YEAR(C2)</f>
        <v>1900</v>
      </c>
    </row>
    <row r="3" spans="1:12" x14ac:dyDescent="0.25">
      <c r="J3"/>
      <c r="K3"/>
      <c r="L3"/>
    </row>
    <row r="4" spans="1:12" x14ac:dyDescent="0.25">
      <c r="J4"/>
      <c r="K4"/>
      <c r="L4"/>
    </row>
    <row r="5" spans="1:12" x14ac:dyDescent="0.25">
      <c r="J5"/>
      <c r="K5"/>
      <c r="L5"/>
    </row>
    <row r="6" spans="1:12" x14ac:dyDescent="0.25">
      <c r="J6"/>
      <c r="K6"/>
      <c r="L6"/>
    </row>
    <row r="7" spans="1:12" x14ac:dyDescent="0.25">
      <c r="J7"/>
      <c r="K7"/>
      <c r="L7"/>
    </row>
    <row r="8" spans="1:12" x14ac:dyDescent="0.25">
      <c r="J8"/>
      <c r="K8"/>
      <c r="L8"/>
    </row>
    <row r="9" spans="1:12" x14ac:dyDescent="0.25">
      <c r="J9"/>
      <c r="K9"/>
      <c r="L9"/>
    </row>
    <row r="10" spans="1:12" x14ac:dyDescent="0.25">
      <c r="J10"/>
      <c r="K10"/>
      <c r="L10"/>
    </row>
    <row r="11" spans="1:12" x14ac:dyDescent="0.25">
      <c r="J11"/>
      <c r="K11"/>
      <c r="L11"/>
    </row>
    <row r="12" spans="1:12" x14ac:dyDescent="0.25">
      <c r="J12"/>
      <c r="K12"/>
      <c r="L12"/>
    </row>
    <row r="13" spans="1:12" x14ac:dyDescent="0.25">
      <c r="J13"/>
      <c r="K13"/>
      <c r="L13"/>
    </row>
    <row r="14" spans="1:12" x14ac:dyDescent="0.25">
      <c r="J14"/>
      <c r="K14"/>
      <c r="L14"/>
    </row>
    <row r="15" spans="1:12" x14ac:dyDescent="0.25">
      <c r="J15"/>
      <c r="K15"/>
      <c r="L15"/>
    </row>
    <row r="16" spans="1:12" x14ac:dyDescent="0.25">
      <c r="J16"/>
      <c r="K16"/>
      <c r="L16"/>
    </row>
    <row r="17" spans="10:12" x14ac:dyDescent="0.25">
      <c r="J17"/>
      <c r="K17"/>
      <c r="L17"/>
    </row>
    <row r="18" spans="10:12" x14ac:dyDescent="0.25">
      <c r="J18"/>
      <c r="K18"/>
      <c r="L18"/>
    </row>
    <row r="19" spans="10:12" x14ac:dyDescent="0.25">
      <c r="J19"/>
      <c r="K19"/>
      <c r="L19"/>
    </row>
    <row r="20" spans="10:12" x14ac:dyDescent="0.25">
      <c r="J20"/>
      <c r="K20"/>
      <c r="L20"/>
    </row>
    <row r="21" spans="10:12" x14ac:dyDescent="0.25">
      <c r="J21"/>
      <c r="K21"/>
      <c r="L21"/>
    </row>
    <row r="22" spans="10:12" x14ac:dyDescent="0.25">
      <c r="J22"/>
      <c r="K22"/>
      <c r="L22"/>
    </row>
    <row r="23" spans="10:12" x14ac:dyDescent="0.25">
      <c r="J23"/>
      <c r="K23"/>
      <c r="L23"/>
    </row>
    <row r="24" spans="10:12" x14ac:dyDescent="0.25">
      <c r="J24"/>
      <c r="K24"/>
      <c r="L24"/>
    </row>
    <row r="25" spans="10:12" x14ac:dyDescent="0.25">
      <c r="J25"/>
      <c r="K25"/>
      <c r="L25"/>
    </row>
    <row r="26" spans="10:12" x14ac:dyDescent="0.25">
      <c r="J26"/>
      <c r="K26"/>
      <c r="L26"/>
    </row>
    <row r="27" spans="10:12" x14ac:dyDescent="0.25">
      <c r="J27"/>
      <c r="K27"/>
      <c r="L27"/>
    </row>
    <row r="28" spans="10:12" x14ac:dyDescent="0.25">
      <c r="J28"/>
      <c r="K28"/>
      <c r="L28"/>
    </row>
    <row r="29" spans="10:12" x14ac:dyDescent="0.25">
      <c r="J29"/>
      <c r="K29"/>
      <c r="L29"/>
    </row>
    <row r="30" spans="10:12" x14ac:dyDescent="0.25">
      <c r="J30"/>
      <c r="K30"/>
      <c r="L30"/>
    </row>
    <row r="31" spans="10:12" x14ac:dyDescent="0.25">
      <c r="J31"/>
      <c r="K31"/>
      <c r="L31"/>
    </row>
    <row r="32" spans="10:12" x14ac:dyDescent="0.25">
      <c r="J32"/>
      <c r="K32"/>
      <c r="L32"/>
    </row>
    <row r="33" spans="10:12" x14ac:dyDescent="0.25">
      <c r="J33"/>
      <c r="K33"/>
      <c r="L33"/>
    </row>
    <row r="34" spans="10:12" x14ac:dyDescent="0.25">
      <c r="J34"/>
      <c r="K34"/>
      <c r="L34"/>
    </row>
    <row r="35" spans="10:12" x14ac:dyDescent="0.25">
      <c r="J35"/>
      <c r="K35"/>
      <c r="L35"/>
    </row>
    <row r="36" spans="10:12" x14ac:dyDescent="0.25">
      <c r="J36"/>
      <c r="K36"/>
      <c r="L36"/>
    </row>
    <row r="37" spans="10:12" x14ac:dyDescent="0.25">
      <c r="J37"/>
      <c r="K37"/>
      <c r="L37"/>
    </row>
    <row r="38" spans="10:12" x14ac:dyDescent="0.25">
      <c r="J38"/>
      <c r="K38"/>
      <c r="L38"/>
    </row>
    <row r="39" spans="10:12" x14ac:dyDescent="0.25">
      <c r="J39"/>
      <c r="K39"/>
      <c r="L39"/>
    </row>
    <row r="40" spans="10:12" x14ac:dyDescent="0.25">
      <c r="J40"/>
      <c r="K40"/>
      <c r="L40"/>
    </row>
    <row r="41" spans="10:12" x14ac:dyDescent="0.25">
      <c r="J41"/>
      <c r="K41"/>
      <c r="L41"/>
    </row>
    <row r="42" spans="10:12" x14ac:dyDescent="0.25">
      <c r="J42"/>
      <c r="K42"/>
      <c r="L42"/>
    </row>
    <row r="43" spans="10:12" x14ac:dyDescent="0.25">
      <c r="J43"/>
      <c r="K43"/>
      <c r="L43"/>
    </row>
    <row r="44" spans="10:12" x14ac:dyDescent="0.25">
      <c r="J44"/>
      <c r="K44"/>
      <c r="L44"/>
    </row>
    <row r="45" spans="10:12" x14ac:dyDescent="0.25">
      <c r="J45"/>
      <c r="K45"/>
      <c r="L45"/>
    </row>
    <row r="46" spans="10:12" x14ac:dyDescent="0.25">
      <c r="J46"/>
      <c r="K46"/>
      <c r="L46"/>
    </row>
    <row r="47" spans="10:12" x14ac:dyDescent="0.25">
      <c r="J47"/>
      <c r="K47"/>
      <c r="L47"/>
    </row>
    <row r="48" spans="10:12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0:12" x14ac:dyDescent="0.25">
      <c r="J97"/>
      <c r="K97"/>
      <c r="L97"/>
    </row>
    <row r="98" spans="10:12" x14ac:dyDescent="0.25">
      <c r="J98"/>
      <c r="K98"/>
      <c r="L98"/>
    </row>
    <row r="99" spans="10:12" x14ac:dyDescent="0.25">
      <c r="J99"/>
      <c r="K99"/>
      <c r="L99"/>
    </row>
    <row r="100" spans="10:12" x14ac:dyDescent="0.25">
      <c r="J100"/>
      <c r="K100"/>
      <c r="L100"/>
    </row>
    <row r="101" spans="10:12" x14ac:dyDescent="0.25">
      <c r="J101"/>
      <c r="K101"/>
      <c r="L101"/>
    </row>
    <row r="102" spans="10:12" x14ac:dyDescent="0.25">
      <c r="J102"/>
      <c r="K102"/>
      <c r="L102"/>
    </row>
    <row r="103" spans="10:12" x14ac:dyDescent="0.25">
      <c r="J103"/>
      <c r="K103"/>
      <c r="L103"/>
    </row>
    <row r="104" spans="10:12" x14ac:dyDescent="0.25">
      <c r="J104"/>
      <c r="K104"/>
      <c r="L104"/>
    </row>
    <row r="105" spans="10:12" x14ac:dyDescent="0.25">
      <c r="J105"/>
      <c r="K105"/>
      <c r="L105"/>
    </row>
    <row r="106" spans="10:12" x14ac:dyDescent="0.25">
      <c r="J106"/>
      <c r="K106"/>
      <c r="L106"/>
    </row>
    <row r="107" spans="10:12" x14ac:dyDescent="0.25">
      <c r="J107"/>
      <c r="K107"/>
      <c r="L107"/>
    </row>
    <row r="108" spans="10:12" x14ac:dyDescent="0.25">
      <c r="J108"/>
      <c r="K108"/>
      <c r="L108"/>
    </row>
    <row r="109" spans="10:12" x14ac:dyDescent="0.25">
      <c r="J109"/>
      <c r="K109"/>
      <c r="L109"/>
    </row>
    <row r="110" spans="10:12" x14ac:dyDescent="0.25">
      <c r="J110"/>
      <c r="K110"/>
      <c r="L110"/>
    </row>
    <row r="111" spans="10:12" x14ac:dyDescent="0.25">
      <c r="J111"/>
      <c r="K111"/>
      <c r="L111"/>
    </row>
    <row r="112" spans="10:12" x14ac:dyDescent="0.25">
      <c r="J112"/>
      <c r="K112"/>
      <c r="L112"/>
    </row>
    <row r="113" spans="10:12" x14ac:dyDescent="0.25">
      <c r="J113"/>
      <c r="K113"/>
      <c r="L113"/>
    </row>
    <row r="114" spans="10:12" x14ac:dyDescent="0.25">
      <c r="J114"/>
      <c r="K114"/>
      <c r="L114"/>
    </row>
    <row r="115" spans="10:12" x14ac:dyDescent="0.25">
      <c r="J115"/>
      <c r="K115"/>
      <c r="L115"/>
    </row>
    <row r="116" spans="10:12" x14ac:dyDescent="0.25">
      <c r="J116"/>
      <c r="K116"/>
      <c r="L116"/>
    </row>
    <row r="117" spans="10:12" x14ac:dyDescent="0.25">
      <c r="J117"/>
      <c r="K117"/>
      <c r="L117"/>
    </row>
    <row r="118" spans="10:12" x14ac:dyDescent="0.25">
      <c r="J118"/>
      <c r="K118"/>
      <c r="L118"/>
    </row>
    <row r="119" spans="10:12" x14ac:dyDescent="0.25">
      <c r="J119"/>
      <c r="K119"/>
      <c r="L119"/>
    </row>
    <row r="120" spans="10:12" x14ac:dyDescent="0.25">
      <c r="J120"/>
      <c r="K120"/>
      <c r="L1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EE2A-53DB-4BCF-B9A9-437C156EB143}">
  <sheetPr codeName="Hoja2"/>
  <dimension ref="A1:B4"/>
  <sheetViews>
    <sheetView workbookViewId="0">
      <selection activeCell="E6" sqref="E6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 t="s">
        <v>32</v>
      </c>
      <c r="B1" t="s">
        <v>39</v>
      </c>
    </row>
    <row r="2" spans="1:2" x14ac:dyDescent="0.25">
      <c r="A2" t="s">
        <v>33</v>
      </c>
      <c r="B2">
        <f>MAX(Base_QSL!A2:A1048576)</f>
        <v>0</v>
      </c>
    </row>
    <row r="3" spans="1:2" x14ac:dyDescent="0.25">
      <c r="A3" t="s">
        <v>36</v>
      </c>
      <c r="B3">
        <f>MAX(QSL_Borrados!A:A)</f>
        <v>6</v>
      </c>
    </row>
    <row r="4" spans="1:2" x14ac:dyDescent="0.25">
      <c r="A4" t="s">
        <v>37</v>
      </c>
      <c r="B4" s="5">
        <f ca="1">TODAY()</f>
        <v>43670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7533-CBF3-4AFF-A40E-E30E3C8D19A7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35D4-3C7D-42DF-83FF-A599D85589EF}">
  <sheetPr codeName="Hoja4"/>
  <dimension ref="A1:L7"/>
  <sheetViews>
    <sheetView workbookViewId="0">
      <selection activeCell="D18" sqref="D18"/>
    </sheetView>
  </sheetViews>
  <sheetFormatPr baseColWidth="10" defaultRowHeight="15" x14ac:dyDescent="0.25"/>
  <sheetData>
    <row r="1" spans="1:12" x14ac:dyDescent="0.25">
      <c r="A1" t="s">
        <v>0</v>
      </c>
      <c r="B1" t="s">
        <v>8</v>
      </c>
      <c r="C1" t="s">
        <v>1</v>
      </c>
      <c r="D1" s="2" t="s">
        <v>18</v>
      </c>
      <c r="E1" s="2" t="s">
        <v>19</v>
      </c>
      <c r="F1" s="2" t="s">
        <v>20</v>
      </c>
      <c r="G1" t="s">
        <v>2</v>
      </c>
      <c r="H1" t="s">
        <v>26</v>
      </c>
      <c r="I1" t="s">
        <v>4</v>
      </c>
      <c r="J1" t="s">
        <v>5</v>
      </c>
      <c r="K1" t="s">
        <v>6</v>
      </c>
      <c r="L1" t="s">
        <v>7</v>
      </c>
    </row>
    <row r="2" spans="1:12" x14ac:dyDescent="0.25">
      <c r="A2">
        <v>1</v>
      </c>
      <c r="B2" t="s">
        <v>9</v>
      </c>
      <c r="C2" s="1">
        <v>43620</v>
      </c>
      <c r="D2" s="2">
        <v>4</v>
      </c>
      <c r="E2" s="2">
        <v>6</v>
      </c>
      <c r="F2" s="2">
        <v>2019</v>
      </c>
      <c r="G2" t="s">
        <v>3</v>
      </c>
      <c r="H2">
        <v>2230</v>
      </c>
      <c r="I2">
        <v>3000</v>
      </c>
      <c r="J2">
        <v>59</v>
      </c>
      <c r="K2" t="s">
        <v>13</v>
      </c>
      <c r="L2">
        <v>85</v>
      </c>
    </row>
    <row r="3" spans="1:12" x14ac:dyDescent="0.25">
      <c r="A3">
        <v>2</v>
      </c>
      <c r="B3" t="s">
        <v>10</v>
      </c>
      <c r="C3" s="1">
        <v>43621</v>
      </c>
      <c r="D3" s="2">
        <v>5</v>
      </c>
      <c r="E3" s="2">
        <v>6</v>
      </c>
      <c r="F3" s="2">
        <v>2019</v>
      </c>
      <c r="G3" t="s">
        <v>24</v>
      </c>
      <c r="H3">
        <v>1100</v>
      </c>
      <c r="I3">
        <v>7100</v>
      </c>
      <c r="J3">
        <v>59</v>
      </c>
      <c r="K3" t="s">
        <v>14</v>
      </c>
      <c r="L3">
        <v>85</v>
      </c>
    </row>
    <row r="4" spans="1:12" x14ac:dyDescent="0.25">
      <c r="A4">
        <v>3</v>
      </c>
      <c r="B4" t="s">
        <v>11</v>
      </c>
      <c r="C4" s="1">
        <v>43683</v>
      </c>
      <c r="D4" s="2">
        <v>6</v>
      </c>
      <c r="E4" s="2">
        <v>8</v>
      </c>
      <c r="F4" s="2">
        <v>2019</v>
      </c>
      <c r="G4" t="s">
        <v>25</v>
      </c>
      <c r="H4">
        <v>1500</v>
      </c>
      <c r="I4">
        <v>445002</v>
      </c>
      <c r="J4">
        <v>59</v>
      </c>
      <c r="K4" t="s">
        <v>15</v>
      </c>
      <c r="L4">
        <v>85</v>
      </c>
    </row>
    <row r="5" spans="1:12" x14ac:dyDescent="0.25">
      <c r="A5">
        <v>4</v>
      </c>
      <c r="B5" t="s">
        <v>12</v>
      </c>
      <c r="C5" s="1">
        <v>43684</v>
      </c>
      <c r="D5" s="2">
        <v>7</v>
      </c>
      <c r="E5" s="2">
        <v>8</v>
      </c>
      <c r="F5" s="2">
        <v>2019</v>
      </c>
      <c r="G5" t="s">
        <v>21</v>
      </c>
      <c r="H5">
        <v>1432</v>
      </c>
      <c r="I5">
        <v>3000</v>
      </c>
      <c r="J5">
        <v>59</v>
      </c>
      <c r="K5" t="s">
        <v>16</v>
      </c>
      <c r="L5">
        <v>85</v>
      </c>
    </row>
    <row r="6" spans="1:12" x14ac:dyDescent="0.25">
      <c r="A6">
        <v>5</v>
      </c>
      <c r="B6" t="s">
        <v>12</v>
      </c>
      <c r="C6" s="1">
        <v>44082</v>
      </c>
      <c r="D6" s="2">
        <v>8</v>
      </c>
      <c r="E6" s="2">
        <v>9</v>
      </c>
      <c r="F6" s="2">
        <v>2020</v>
      </c>
      <c r="G6" t="s">
        <v>22</v>
      </c>
      <c r="H6">
        <v>1558</v>
      </c>
      <c r="I6">
        <v>7100</v>
      </c>
      <c r="J6">
        <v>59</v>
      </c>
      <c r="K6" t="s">
        <v>17</v>
      </c>
      <c r="L6">
        <v>85</v>
      </c>
    </row>
    <row r="7" spans="1:12" x14ac:dyDescent="0.25">
      <c r="A7">
        <v>6</v>
      </c>
      <c r="B7" t="s">
        <v>12</v>
      </c>
      <c r="C7" s="1">
        <v>44478</v>
      </c>
      <c r="D7" s="2">
        <v>9</v>
      </c>
      <c r="E7" s="2">
        <v>10</v>
      </c>
      <c r="F7" s="2">
        <v>2021</v>
      </c>
      <c r="G7" t="s">
        <v>23</v>
      </c>
      <c r="H7">
        <v>1839</v>
      </c>
      <c r="I7">
        <v>445002</v>
      </c>
      <c r="J7">
        <v>59</v>
      </c>
      <c r="K7" t="s">
        <v>13</v>
      </c>
      <c r="L7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LogBook</vt:lpstr>
      <vt:lpstr>Base_QSL</vt:lpstr>
      <vt:lpstr>Variables</vt:lpstr>
      <vt:lpstr>Hoja1</vt:lpstr>
      <vt:lpstr>QSL_Borrados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itfk</dc:creator>
  <cp:lastModifiedBy>itfk</cp:lastModifiedBy>
  <cp:lastPrinted>2019-07-23T20:35:48Z</cp:lastPrinted>
  <dcterms:created xsi:type="dcterms:W3CDTF">2019-06-04T13:36:34Z</dcterms:created>
  <dcterms:modified xsi:type="dcterms:W3CDTF">2019-07-24T16:16:02Z</dcterms:modified>
</cp:coreProperties>
</file>